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balap\Desktop\CAPSTONE PROJECT\"/>
    </mc:Choice>
  </mc:AlternateContent>
  <xr:revisionPtr revIDLastSave="0" documentId="8_{0553D12C-4B57-4935-A033-A1FFDDB0FA49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Summary_Metrics" sheetId="1" r:id="rId1"/>
    <sheet name="Segment_by_Region" sheetId="2" r:id="rId2"/>
    <sheet name="Segment_by_Device" sheetId="3" r:id="rId3"/>
    <sheet name="Segment_by_Traffic_Source" sheetId="4" r:id="rId4"/>
    <sheet name="Guardrail_Analysis" sheetId="5" r:id="rId5"/>
    <sheet name="Recommend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5" i="5"/>
  <c r="D4" i="5"/>
  <c r="D3" i="5"/>
  <c r="D2" i="5"/>
  <c r="G6" i="4"/>
  <c r="H6" i="4" s="1"/>
  <c r="D6" i="4"/>
  <c r="G5" i="4"/>
  <c r="D5" i="4"/>
  <c r="H5" i="4" s="1"/>
  <c r="H4" i="4"/>
  <c r="G4" i="4"/>
  <c r="D4" i="4"/>
  <c r="H3" i="4"/>
  <c r="G3" i="4"/>
  <c r="D3" i="4"/>
  <c r="H2" i="4"/>
  <c r="G2" i="4"/>
  <c r="D2" i="4"/>
  <c r="G4" i="3"/>
  <c r="D4" i="3"/>
  <c r="H4" i="3" s="1"/>
  <c r="H3" i="3"/>
  <c r="G3" i="3"/>
  <c r="D3" i="3"/>
  <c r="H2" i="3"/>
  <c r="G2" i="3"/>
  <c r="D2" i="3"/>
  <c r="H5" i="2"/>
  <c r="G5" i="2"/>
  <c r="D5" i="2"/>
  <c r="H4" i="2"/>
  <c r="G4" i="2"/>
  <c r="D4" i="2"/>
  <c r="H3" i="2"/>
  <c r="G3" i="2"/>
  <c r="D3" i="2"/>
  <c r="H2" i="2"/>
  <c r="G2" i="2"/>
  <c r="D2" i="2"/>
  <c r="E13" i="1"/>
  <c r="D13" i="1"/>
  <c r="E12" i="1"/>
  <c r="D12" i="1"/>
  <c r="E11" i="1"/>
  <c r="D11" i="1"/>
  <c r="D10" i="1"/>
  <c r="E9" i="1"/>
  <c r="D9" i="1"/>
  <c r="E8" i="1"/>
  <c r="D8" i="1"/>
  <c r="E7" i="1"/>
  <c r="D7" i="1"/>
  <c r="E6" i="1"/>
  <c r="D6" i="1"/>
  <c r="E5" i="1"/>
  <c r="D5" i="1"/>
  <c r="E4" i="1"/>
  <c r="D4" i="1"/>
  <c r="D3" i="1"/>
</calcChain>
</file>

<file path=xl/sharedStrings.xml><?xml version="1.0" encoding="utf-8"?>
<sst xmlns="http://schemas.openxmlformats.org/spreadsheetml/2006/main" count="123" uniqueCount="91">
  <si>
    <t>Experiment Summary: Control vs Treatment</t>
  </si>
  <si>
    <t>Metric</t>
  </si>
  <si>
    <t>Control</t>
  </si>
  <si>
    <t>Treatment</t>
  </si>
  <si>
    <t>Difference</t>
  </si>
  <si>
    <t>Relative Lift (%)</t>
  </si>
  <si>
    <t>p-value</t>
  </si>
  <si>
    <t>Significant?</t>
  </si>
  <si>
    <t>User Count</t>
  </si>
  <si>
    <t>—</t>
  </si>
  <si>
    <t>Landing Page Visit Rate</t>
  </si>
  <si>
    <t>✅Yes</t>
  </si>
  <si>
    <t>Trial Start Rate</t>
  </si>
  <si>
    <t>Onboarding Completion Rate</t>
  </si>
  <si>
    <t>Paid Conversion Rate (North Star)</t>
  </si>
  <si>
    <t>Average Revenue per User</t>
  </si>
  <si>
    <t>x No</t>
  </si>
  <si>
    <t>Average Revenue per Converted User</t>
  </si>
  <si>
    <t>⚠️ Concern</t>
  </si>
  <si>
    <t>Refund Rate</t>
  </si>
  <si>
    <t>New risk</t>
  </si>
  <si>
    <t>Support Ticket Rate (avg per user)</t>
  </si>
  <si>
    <t>&lt;0.0001</t>
  </si>
  <si>
    <t>Yes ⚠️</t>
  </si>
  <si>
    <t>Average Engagement Score</t>
  </si>
  <si>
    <t>Average Days to Convert</t>
  </si>
  <si>
    <t>✅ Faster</t>
  </si>
  <si>
    <t>Region</t>
  </si>
  <si>
    <t>Control Users</t>
  </si>
  <si>
    <t>Control Conversions</t>
  </si>
  <si>
    <t>Control Rate</t>
  </si>
  <si>
    <t>Treatment Users</t>
  </si>
  <si>
    <t>Treatment Conversions</t>
  </si>
  <si>
    <t>Treatment Rate</t>
  </si>
  <si>
    <t>Lift %</t>
  </si>
  <si>
    <t>North</t>
  </si>
  <si>
    <t>South</t>
  </si>
  <si>
    <t>East</t>
  </si>
  <si>
    <t>West</t>
  </si>
  <si>
    <t>Device</t>
  </si>
  <si>
    <t>Desktop</t>
  </si>
  <si>
    <t>Mobile</t>
  </si>
  <si>
    <t>Tablet</t>
  </si>
  <si>
    <t>Traffic Source</t>
  </si>
  <si>
    <t>Email</t>
  </si>
  <si>
    <t>Organic</t>
  </si>
  <si>
    <t>Paid Search</t>
  </si>
  <si>
    <t>Referral</t>
  </si>
  <si>
    <t>Social</t>
  </si>
  <si>
    <t>Guardrail Metric</t>
  </si>
  <si>
    <t>Control Value</t>
  </si>
  <si>
    <t>Treatment Value</t>
  </si>
  <si>
    <t>Change</t>
  </si>
  <si>
    <t>Risk Level</t>
  </si>
  <si>
    <t>Interpretation</t>
  </si>
  <si>
    <t>Revenue per Converter</t>
  </si>
  <si>
    <t>HIGH</t>
  </si>
  <si>
    <t>Treatment converts more users but at much lower individual value; potential quality concern</t>
  </si>
  <si>
    <t>Support Tickets</t>
  </si>
  <si>
    <t>MEDIUM</t>
  </si>
  <si>
    <t>Significant increase in support burden; may indicate UX confusion or unmet expectations</t>
  </si>
  <si>
    <t>LOW (emerging)</t>
  </si>
  <si>
    <t>New refund activity not present in control; monitor for escalation</t>
  </si>
  <si>
    <t>Days to Convert</t>
  </si>
  <si>
    <t>NO RISK</t>
  </si>
  <si>
    <t>Faster conversion is positive; users are deciding more quickly</t>
  </si>
  <si>
    <t>Social Traffic Segment</t>
  </si>
  <si>
    <t>Only segment with negative lift; treatment may not resonate with social-sourced users</t>
  </si>
  <si>
    <t>EXPERIMENT RESULTS — FINAL RECOMMENDATION</t>
  </si>
  <si>
    <t/>
  </si>
  <si>
    <t>DECISION: LAUNCH WITH MONITORING</t>
  </si>
  <si>
    <t>KEY POSITIVES</t>
  </si>
  <si>
    <t>• Paid conversion rate increased +120.8% (3.17% → 6.99%, p=0.0017)</t>
  </si>
  <si>
    <t>• Onboarding completion rate improved +36.5% (p=0.0075)</t>
  </si>
  <si>
    <t>• Average engagement score significantly higher (+10.3%, p&lt;0.0001)</t>
  </si>
  <si>
    <t>• Conversion speed improved by 27.8% (8.86 → 6.40 days)</t>
  </si>
  <si>
    <t>KEY CONCERNS</t>
  </si>
  <si>
    <t>• Revenue per converted user dropped -52.7% ($1,630 → $770)</t>
  </si>
  <si>
    <t>• Support ticket rate increased +69.6% (0.22 → 0.37 per user, p&lt;0.0001)</t>
  </si>
  <si>
    <t>• Social traffic segment shows -21.7% decline in conversion</t>
  </si>
  <si>
    <t>ACTION PLAN</t>
  </si>
  <si>
    <t>1. Launch treatment to all segments EXCEPT social traffic (hold for further testing)</t>
  </si>
  <si>
    <t>2. Implement enhanced support monitoring dashboard — track weekly ticket volume</t>
  </si>
  <si>
    <t>3. Set up revenue-per-converter tracking with 2-week rolling average alerts</t>
  </si>
  <si>
    <t>4. Conduct qualitative research (user interviews) on converter quality difference</t>
  </si>
  <si>
    <t>5. Re-evaluate at 30-day mark with full revenue cohort analysis</t>
  </si>
  <si>
    <t>KILL-SWITCH THRESHOLDS</t>
  </si>
  <si>
    <t>• If refund rate exceeds 2.0% → pause experiment immediately</t>
  </si>
  <si>
    <t>• If support tickets exceed 0.50 per user (7-day avg) → escalate to product team</t>
  </si>
  <si>
    <t>• If revenue per converter drops below $500 → revert to control</t>
  </si>
  <si>
    <t>• If overall conversion rate drops below 4.0% → investigate and consider revert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</si>
</sst>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\$#,##0.0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left"/>
    </xf>
    <xf numFmtId="10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0" fontId="5" fillId="3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horizontal="center"/>
    </xf>
    <xf numFmtId="49" fontId="7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5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725BF0-56B2-440D-BD61-50DB36FE5CB2}">
  <we:reference id="cc60e3e5-41cc-4675-9c49-ad04959b3f7a" version="1.0.1.6" store="EXCatalog" storeType="EXCatalog"/>
  <we:alternateReferences/>
  <we:properties>
    <we:property name="Office.AutoShowTaskpaneWithDocument" value="true"/>
    <we:property name="conversationId" value="&quot;d1e93945-1f41-497f-a6ea-9830e935150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20" sqref="G20"/>
    </sheetView>
  </sheetViews>
  <sheetFormatPr defaultRowHeight="14.4" x14ac:dyDescent="0.3"/>
  <cols>
    <col min="1" max="1" width="38.69921875" customWidth="1"/>
    <col min="2" max="4" width="14.69921875" customWidth="1"/>
    <col min="5" max="5" width="16.69921875" customWidth="1"/>
    <col min="6" max="6" width="12.69921875" customWidth="1"/>
    <col min="7" max="7" width="14.69921875" customWidth="1"/>
  </cols>
  <sheetData>
    <row r="1" spans="1:7" ht="17.850000000000001" x14ac:dyDescent="0.35">
      <c r="A1" s="36" t="s">
        <v>0</v>
      </c>
      <c r="B1" s="36"/>
      <c r="C1" s="36"/>
      <c r="D1" s="36"/>
      <c r="E1" s="36"/>
      <c r="F1" s="36"/>
      <c r="G1" s="36"/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2" t="s">
        <v>8</v>
      </c>
      <c r="B3" s="3">
        <v>693</v>
      </c>
      <c r="C3" s="3">
        <v>715</v>
      </c>
      <c r="D3" s="3">
        <f t="shared" ref="D3:D13" si="0">C3-B3</f>
        <v>22</v>
      </c>
      <c r="E3" s="4" t="s">
        <v>9</v>
      </c>
      <c r="F3" s="4" t="s">
        <v>9</v>
      </c>
      <c r="G3" s="4" t="s">
        <v>9</v>
      </c>
    </row>
    <row r="4" spans="1:7" x14ac:dyDescent="0.3">
      <c r="A4" s="2" t="s">
        <v>10</v>
      </c>
      <c r="B4" s="5">
        <v>0.63639999999999997</v>
      </c>
      <c r="C4" s="5">
        <v>0.72589999999999999</v>
      </c>
      <c r="D4" s="13">
        <f t="shared" si="0"/>
        <v>8.9500000000000024E-2</v>
      </c>
      <c r="E4" s="23">
        <f t="shared" ref="E4:E9" si="1">(C4-B4)/B4*100</f>
        <v>14.063482086737904</v>
      </c>
      <c r="F4" s="7">
        <v>4.0000000000000002E-4</v>
      </c>
      <c r="G4" s="25" t="s">
        <v>11</v>
      </c>
    </row>
    <row r="5" spans="1:7" x14ac:dyDescent="0.3">
      <c r="A5" s="2" t="s">
        <v>12</v>
      </c>
      <c r="B5" s="5">
        <v>0.25109999999999999</v>
      </c>
      <c r="C5" s="5">
        <v>0.29089999999999999</v>
      </c>
      <c r="D5" s="13">
        <f t="shared" si="0"/>
        <v>3.9800000000000002E-2</v>
      </c>
      <c r="E5" s="23">
        <f t="shared" si="1"/>
        <v>15.850258861011552</v>
      </c>
      <c r="F5" s="4" t="s">
        <v>9</v>
      </c>
      <c r="G5" s="4" t="s">
        <v>9</v>
      </c>
    </row>
    <row r="6" spans="1:7" x14ac:dyDescent="0.3">
      <c r="A6" s="2" t="s">
        <v>13</v>
      </c>
      <c r="B6" s="5">
        <v>0.15579999999999999</v>
      </c>
      <c r="C6" s="5">
        <v>0.21260000000000001</v>
      </c>
      <c r="D6" s="13">
        <f t="shared" si="0"/>
        <v>5.6800000000000017E-2</v>
      </c>
      <c r="E6" s="23">
        <f t="shared" si="1"/>
        <v>36.456996148908871</v>
      </c>
      <c r="F6" s="7">
        <v>7.4999999999999997E-3</v>
      </c>
      <c r="G6" s="25" t="s">
        <v>11</v>
      </c>
    </row>
    <row r="7" spans="1:7" x14ac:dyDescent="0.3">
      <c r="A7" s="10" t="s">
        <v>14</v>
      </c>
      <c r="B7" s="11">
        <v>3.1699999999999999E-2</v>
      </c>
      <c r="C7" s="11">
        <v>6.9900000000000004E-2</v>
      </c>
      <c r="D7" s="14">
        <f t="shared" si="0"/>
        <v>3.8200000000000005E-2</v>
      </c>
      <c r="E7" s="24">
        <f t="shared" si="1"/>
        <v>120.50473186119876</v>
      </c>
      <c r="F7" s="12">
        <v>1.6999999999999999E-3</v>
      </c>
      <c r="G7" s="25" t="s">
        <v>11</v>
      </c>
    </row>
    <row r="8" spans="1:7" x14ac:dyDescent="0.3">
      <c r="A8" s="2" t="s">
        <v>15</v>
      </c>
      <c r="B8" s="8">
        <v>51.75</v>
      </c>
      <c r="C8" s="8">
        <v>53.88</v>
      </c>
      <c r="D8" s="15">
        <f t="shared" si="0"/>
        <v>2.1300000000000026</v>
      </c>
      <c r="E8" s="6">
        <f t="shared" si="1"/>
        <v>4.1159420289855122</v>
      </c>
      <c r="F8" s="7">
        <v>0.91559999999999997</v>
      </c>
      <c r="G8" s="4" t="s">
        <v>16</v>
      </c>
    </row>
    <row r="9" spans="1:7" x14ac:dyDescent="0.3">
      <c r="A9" s="2" t="s">
        <v>17</v>
      </c>
      <c r="B9" s="8">
        <v>1630.1</v>
      </c>
      <c r="C9" s="8">
        <v>770.41</v>
      </c>
      <c r="D9" s="17">
        <f t="shared" si="0"/>
        <v>-859.68999999999994</v>
      </c>
      <c r="E9" s="22">
        <f t="shared" si="1"/>
        <v>-52.738482301699285</v>
      </c>
      <c r="F9" s="4" t="s">
        <v>9</v>
      </c>
      <c r="G9" s="27" t="s">
        <v>18</v>
      </c>
    </row>
    <row r="10" spans="1:7" x14ac:dyDescent="0.3">
      <c r="A10" s="2" t="s">
        <v>19</v>
      </c>
      <c r="B10" s="5">
        <v>0</v>
      </c>
      <c r="C10" s="5">
        <v>4.1999999999999997E-3</v>
      </c>
      <c r="D10" s="18">
        <f t="shared" si="0"/>
        <v>4.1999999999999997E-3</v>
      </c>
      <c r="E10" s="20" t="s">
        <v>20</v>
      </c>
      <c r="F10" s="4" t="s">
        <v>9</v>
      </c>
      <c r="G10" s="27" t="s">
        <v>18</v>
      </c>
    </row>
    <row r="11" spans="1:7" x14ac:dyDescent="0.3">
      <c r="A11" s="2" t="s">
        <v>21</v>
      </c>
      <c r="B11" s="9">
        <v>0.22</v>
      </c>
      <c r="C11" s="9">
        <v>0.37</v>
      </c>
      <c r="D11" s="19">
        <f t="shared" si="0"/>
        <v>0.15</v>
      </c>
      <c r="E11" s="21">
        <f>(C11-B11)/B11*100</f>
        <v>68.181818181818173</v>
      </c>
      <c r="F11" s="4" t="s">
        <v>22</v>
      </c>
      <c r="G11" s="25" t="s">
        <v>23</v>
      </c>
    </row>
    <row r="12" spans="1:7" x14ac:dyDescent="0.3">
      <c r="A12" s="2" t="s">
        <v>24</v>
      </c>
      <c r="B12" s="9">
        <v>57.03</v>
      </c>
      <c r="C12" s="9">
        <v>62.93</v>
      </c>
      <c r="D12" s="16">
        <f t="shared" si="0"/>
        <v>5.8999999999999986</v>
      </c>
      <c r="E12" s="23">
        <f>(C12-B12)/B12*100</f>
        <v>10.345432228651584</v>
      </c>
      <c r="F12" s="4" t="s">
        <v>22</v>
      </c>
      <c r="G12" s="25" t="s">
        <v>11</v>
      </c>
    </row>
    <row r="13" spans="1:7" x14ac:dyDescent="0.3">
      <c r="A13" s="2" t="s">
        <v>25</v>
      </c>
      <c r="B13" s="9">
        <v>8.86</v>
      </c>
      <c r="C13" s="9">
        <v>6.4</v>
      </c>
      <c r="D13" s="16">
        <f t="shared" si="0"/>
        <v>-2.4599999999999991</v>
      </c>
      <c r="E13" s="23">
        <f>(C13-B13)/B13*100</f>
        <v>-27.765237020316018</v>
      </c>
      <c r="F13" s="4" t="s">
        <v>9</v>
      </c>
      <c r="G13" s="25" t="s">
        <v>26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H2" sqref="H2:H5"/>
    </sheetView>
  </sheetViews>
  <sheetFormatPr defaultRowHeight="14.4" x14ac:dyDescent="0.3"/>
  <cols>
    <col min="1" max="1" width="12.69921875" customWidth="1"/>
    <col min="2" max="3" width="18.69921875" customWidth="1"/>
    <col min="4" max="4" width="14.69921875" customWidth="1"/>
    <col min="5" max="6" width="22.69921875" customWidth="1"/>
    <col min="7" max="7" width="16.69921875" customWidth="1"/>
    <col min="8" max="8" width="10.69921875" customWidth="1"/>
  </cols>
  <sheetData>
    <row r="1" spans="1:8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3">
      <c r="A2" s="2" t="s">
        <v>35</v>
      </c>
      <c r="B2" s="3">
        <v>174</v>
      </c>
      <c r="C2" s="3">
        <v>6</v>
      </c>
      <c r="D2" s="5">
        <f>C2/B2</f>
        <v>3.4482758620689655E-2</v>
      </c>
      <c r="E2" s="3">
        <v>180</v>
      </c>
      <c r="F2" s="3">
        <v>16</v>
      </c>
      <c r="G2" s="5">
        <f>F2/E2</f>
        <v>8.8888888888888892E-2</v>
      </c>
      <c r="H2" s="28">
        <f>(G2-D2)/D2*100</f>
        <v>157.7777777777778</v>
      </c>
    </row>
    <row r="3" spans="1:8" x14ac:dyDescent="0.3">
      <c r="A3" s="2" t="s">
        <v>36</v>
      </c>
      <c r="B3" s="3">
        <v>184</v>
      </c>
      <c r="C3" s="3">
        <v>6</v>
      </c>
      <c r="D3" s="5">
        <f>C3/B3</f>
        <v>3.2608695652173912E-2</v>
      </c>
      <c r="E3" s="3">
        <v>184</v>
      </c>
      <c r="F3" s="3">
        <v>14</v>
      </c>
      <c r="G3" s="5">
        <f>F3/E3</f>
        <v>7.6086956521739135E-2</v>
      </c>
      <c r="H3" s="28">
        <f>(G3-D3)/D3*100</f>
        <v>133.33333333333334</v>
      </c>
    </row>
    <row r="4" spans="1:8" x14ac:dyDescent="0.3">
      <c r="A4" s="2" t="s">
        <v>37</v>
      </c>
      <c r="B4" s="3">
        <v>158</v>
      </c>
      <c r="C4" s="3">
        <v>4</v>
      </c>
      <c r="D4" s="5">
        <f>C4/B4</f>
        <v>2.5316455696202531E-2</v>
      </c>
      <c r="E4" s="3">
        <v>172</v>
      </c>
      <c r="F4" s="3">
        <v>11</v>
      </c>
      <c r="G4" s="5">
        <f>F4/E4</f>
        <v>6.3953488372093026E-2</v>
      </c>
      <c r="H4" s="28">
        <f>(G4-D4)/D4*100</f>
        <v>152.61627906976747</v>
      </c>
    </row>
    <row r="5" spans="1:8" x14ac:dyDescent="0.3">
      <c r="A5" s="2" t="s">
        <v>38</v>
      </c>
      <c r="B5" s="3">
        <v>177</v>
      </c>
      <c r="C5" s="3">
        <v>6</v>
      </c>
      <c r="D5" s="5">
        <f>C5/B5</f>
        <v>3.3898305084745763E-2</v>
      </c>
      <c r="E5" s="3">
        <v>179</v>
      </c>
      <c r="F5" s="3">
        <v>9</v>
      </c>
      <c r="G5" s="5">
        <f>F5/E5</f>
        <v>5.027932960893855E-2</v>
      </c>
      <c r="H5" s="28">
        <f>(G5-D5)/D5*100</f>
        <v>48.324022346368722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H2" sqref="H2:H4"/>
    </sheetView>
  </sheetViews>
  <sheetFormatPr defaultRowHeight="14.4" x14ac:dyDescent="0.3"/>
  <cols>
    <col min="1" max="1" width="12.69921875" customWidth="1"/>
    <col min="2" max="3" width="18.69921875" customWidth="1"/>
    <col min="4" max="4" width="14.69921875" customWidth="1"/>
    <col min="5" max="6" width="22.69921875" customWidth="1"/>
    <col min="7" max="7" width="16.69921875" customWidth="1"/>
    <col min="8" max="8" width="10.69921875" customWidth="1"/>
  </cols>
  <sheetData>
    <row r="1" spans="1:8" x14ac:dyDescent="0.3">
      <c r="A1" s="1" t="s">
        <v>39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3">
      <c r="A2" s="2" t="s">
        <v>40</v>
      </c>
      <c r="B2" s="3">
        <v>267</v>
      </c>
      <c r="C2" s="3">
        <v>12</v>
      </c>
      <c r="D2" s="5">
        <f>C2/B2</f>
        <v>4.49438202247191E-2</v>
      </c>
      <c r="E2" s="3">
        <v>260</v>
      </c>
      <c r="F2" s="3">
        <v>17</v>
      </c>
      <c r="G2" s="5">
        <f>F2/E2</f>
        <v>6.5384615384615388E-2</v>
      </c>
      <c r="H2" s="28">
        <f>(G2-D2)/D2*100</f>
        <v>45.480769230769241</v>
      </c>
    </row>
    <row r="3" spans="1:8" x14ac:dyDescent="0.3">
      <c r="A3" s="2" t="s">
        <v>41</v>
      </c>
      <c r="B3" s="3">
        <v>350</v>
      </c>
      <c r="C3" s="3">
        <v>9</v>
      </c>
      <c r="D3" s="5">
        <f>C3/B3</f>
        <v>2.5714285714285714E-2</v>
      </c>
      <c r="E3" s="3">
        <v>354</v>
      </c>
      <c r="F3" s="3">
        <v>26</v>
      </c>
      <c r="G3" s="5">
        <f>F3/E3</f>
        <v>7.3446327683615822E-2</v>
      </c>
      <c r="H3" s="28">
        <f>(G3-D3)/D3*100</f>
        <v>185.62460765850597</v>
      </c>
    </row>
    <row r="4" spans="1:8" x14ac:dyDescent="0.3">
      <c r="A4" s="2" t="s">
        <v>42</v>
      </c>
      <c r="B4" s="3">
        <v>56</v>
      </c>
      <c r="C4" s="3">
        <v>1</v>
      </c>
      <c r="D4" s="5">
        <f>C4/B4</f>
        <v>1.7857142857142856E-2</v>
      </c>
      <c r="E4" s="3">
        <v>98</v>
      </c>
      <c r="F4" s="3">
        <v>7</v>
      </c>
      <c r="G4" s="5">
        <f>F4/E4</f>
        <v>7.1428571428571425E-2</v>
      </c>
      <c r="H4" s="28">
        <f>(G4-D4)/D4*100</f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H6" sqref="H6"/>
    </sheetView>
  </sheetViews>
  <sheetFormatPr defaultRowHeight="14.4" x14ac:dyDescent="0.3"/>
  <cols>
    <col min="1" max="1" width="16.69921875" customWidth="1"/>
    <col min="2" max="3" width="18.69921875" customWidth="1"/>
    <col min="4" max="4" width="14.69921875" customWidth="1"/>
    <col min="5" max="6" width="22.69921875" customWidth="1"/>
    <col min="7" max="7" width="16.69921875" customWidth="1"/>
    <col min="8" max="8" width="10.69921875" customWidth="1"/>
  </cols>
  <sheetData>
    <row r="1" spans="1:8" x14ac:dyDescent="0.3">
      <c r="A1" s="1" t="s">
        <v>43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3">
      <c r="A2" s="2" t="s">
        <v>44</v>
      </c>
      <c r="B2" s="3">
        <v>111</v>
      </c>
      <c r="C2" s="3">
        <v>3</v>
      </c>
      <c r="D2" s="5">
        <f>C2/B2</f>
        <v>2.7027027027027029E-2</v>
      </c>
      <c r="E2" s="3">
        <v>112</v>
      </c>
      <c r="F2" s="3">
        <v>8</v>
      </c>
      <c r="G2" s="5">
        <f>F2/E2</f>
        <v>7.1428571428571425E-2</v>
      </c>
      <c r="H2" s="28">
        <f>(G2-D2)/D2*100</f>
        <v>164.28571428571425</v>
      </c>
    </row>
    <row r="3" spans="1:8" x14ac:dyDescent="0.3">
      <c r="A3" s="2" t="s">
        <v>45</v>
      </c>
      <c r="B3" s="3">
        <v>148</v>
      </c>
      <c r="C3" s="3">
        <v>3</v>
      </c>
      <c r="D3" s="5">
        <f>C3/B3</f>
        <v>2.0270270270270271E-2</v>
      </c>
      <c r="E3" s="3">
        <v>161</v>
      </c>
      <c r="F3" s="3">
        <v>10</v>
      </c>
      <c r="G3" s="5">
        <f>F3/E3</f>
        <v>6.2111801242236024E-2</v>
      </c>
      <c r="H3" s="28">
        <f>(G3-D3)/D3*100</f>
        <v>206.4182194616977</v>
      </c>
    </row>
    <row r="4" spans="1:8" x14ac:dyDescent="0.3">
      <c r="A4" s="2" t="s">
        <v>46</v>
      </c>
      <c r="B4" s="3">
        <v>156</v>
      </c>
      <c r="C4" s="3">
        <v>2</v>
      </c>
      <c r="D4" s="5">
        <f>C4/B4</f>
        <v>1.282051282051282E-2</v>
      </c>
      <c r="E4" s="3">
        <v>144</v>
      </c>
      <c r="F4" s="3">
        <v>9</v>
      </c>
      <c r="G4" s="5">
        <f>F4/E4</f>
        <v>6.25E-2</v>
      </c>
      <c r="H4" s="28">
        <f>(G4-D4)/D4*100</f>
        <v>387.50000000000006</v>
      </c>
    </row>
    <row r="5" spans="1:8" x14ac:dyDescent="0.3">
      <c r="A5" s="2" t="s">
        <v>47</v>
      </c>
      <c r="B5" s="3">
        <v>162</v>
      </c>
      <c r="C5" s="3">
        <v>4</v>
      </c>
      <c r="D5" s="5">
        <f>C5/B5</f>
        <v>2.4691358024691357E-2</v>
      </c>
      <c r="E5" s="3">
        <v>182</v>
      </c>
      <c r="F5" s="3">
        <v>20</v>
      </c>
      <c r="G5" s="5">
        <f>F5/E5</f>
        <v>0.10989010989010989</v>
      </c>
      <c r="H5" s="28">
        <f>(G5-D5)/D5*100</f>
        <v>345.05494505494505</v>
      </c>
    </row>
    <row r="6" spans="1:8" x14ac:dyDescent="0.3">
      <c r="A6" s="2" t="s">
        <v>48</v>
      </c>
      <c r="B6" s="3">
        <v>117</v>
      </c>
      <c r="C6" s="3">
        <v>9</v>
      </c>
      <c r="D6" s="5">
        <f>C6/B6</f>
        <v>7.6923076923076927E-2</v>
      </c>
      <c r="E6" s="3">
        <v>116</v>
      </c>
      <c r="F6" s="3">
        <v>7</v>
      </c>
      <c r="G6" s="5">
        <f>F6/E6</f>
        <v>6.0344827586206899E-2</v>
      </c>
      <c r="H6" s="29">
        <f>(G6-D6)/D6*100</f>
        <v>-21.551724137931036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F15" sqref="F15"/>
    </sheetView>
  </sheetViews>
  <sheetFormatPr defaultRowHeight="14.4" x14ac:dyDescent="0.3"/>
  <cols>
    <col min="1" max="1" width="24.69921875" customWidth="1"/>
    <col min="2" max="3" width="18.69921875" customWidth="1"/>
    <col min="4" max="4" width="12.69921875" customWidth="1"/>
    <col min="5" max="5" width="16.69921875" customWidth="1"/>
    <col min="6" max="6" width="80.69921875" customWidth="1"/>
  </cols>
  <sheetData>
    <row r="1" spans="1:6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">
      <c r="A2" s="2" t="s">
        <v>55</v>
      </c>
      <c r="B2" s="8">
        <v>1630.1</v>
      </c>
      <c r="C2" s="8">
        <v>770.41</v>
      </c>
      <c r="D2" s="6">
        <f>(C2-B2)/B2*100</f>
        <v>-52.738482301699285</v>
      </c>
      <c r="E2" s="26" t="s">
        <v>56</v>
      </c>
      <c r="F2" s="4" t="s">
        <v>57</v>
      </c>
    </row>
    <row r="3" spans="1:6" x14ac:dyDescent="0.3">
      <c r="A3" s="2" t="s">
        <v>58</v>
      </c>
      <c r="B3" s="9">
        <v>0.22</v>
      </c>
      <c r="C3" s="9">
        <v>0.37</v>
      </c>
      <c r="D3" s="6">
        <f>(C3-B3)/B3*100</f>
        <v>68.181818181818173</v>
      </c>
      <c r="E3" s="30" t="s">
        <v>59</v>
      </c>
      <c r="F3" s="4" t="s">
        <v>60</v>
      </c>
    </row>
    <row r="4" spans="1:6" x14ac:dyDescent="0.3">
      <c r="A4" s="2" t="s">
        <v>19</v>
      </c>
      <c r="B4" s="5">
        <v>0</v>
      </c>
      <c r="C4" s="5">
        <v>4.1999999999999997E-3</v>
      </c>
      <c r="D4" s="5">
        <f>C4-B4</f>
        <v>4.1999999999999997E-3</v>
      </c>
      <c r="E4" s="31" t="s">
        <v>61</v>
      </c>
      <c r="F4" s="4" t="s">
        <v>62</v>
      </c>
    </row>
    <row r="5" spans="1:6" x14ac:dyDescent="0.3">
      <c r="A5" s="2" t="s">
        <v>63</v>
      </c>
      <c r="B5" s="9">
        <v>8.86</v>
      </c>
      <c r="C5" s="9">
        <v>6.4</v>
      </c>
      <c r="D5" s="6">
        <f>(C5-B5)/B5*100</f>
        <v>-27.765237020316018</v>
      </c>
      <c r="E5" s="25" t="s">
        <v>64</v>
      </c>
      <c r="F5" s="4" t="s">
        <v>65</v>
      </c>
    </row>
    <row r="6" spans="1:6" x14ac:dyDescent="0.3">
      <c r="A6" s="2" t="s">
        <v>66</v>
      </c>
      <c r="B6" s="5">
        <v>7.6899999999999996E-2</v>
      </c>
      <c r="C6" s="5">
        <v>6.0199999999999997E-2</v>
      </c>
      <c r="D6" s="6">
        <f>(C6-B6)/B6*100</f>
        <v>-21.716514954486346</v>
      </c>
      <c r="E6" s="30" t="s">
        <v>59</v>
      </c>
      <c r="F6" s="4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7"/>
  <sheetViews>
    <sheetView workbookViewId="0">
      <selection activeCell="D7" sqref="D7"/>
    </sheetView>
  </sheetViews>
  <sheetFormatPr defaultRowHeight="14.4" x14ac:dyDescent="0.3"/>
  <cols>
    <col min="1" max="1" width="90.69921875" customWidth="1"/>
  </cols>
  <sheetData>
    <row r="1" spans="1:1" ht="17.850000000000001" x14ac:dyDescent="0.3">
      <c r="A1" s="32" t="s">
        <v>68</v>
      </c>
    </row>
    <row r="2" spans="1:1" x14ac:dyDescent="0.3">
      <c r="A2" s="33" t="s">
        <v>69</v>
      </c>
    </row>
    <row r="3" spans="1:1" ht="16.149999999999999" x14ac:dyDescent="0.3">
      <c r="A3" s="34" t="s">
        <v>70</v>
      </c>
    </row>
    <row r="4" spans="1:1" x14ac:dyDescent="0.3">
      <c r="A4" s="33" t="s">
        <v>69</v>
      </c>
    </row>
    <row r="5" spans="1:1" x14ac:dyDescent="0.3">
      <c r="A5" s="35" t="s">
        <v>71</v>
      </c>
    </row>
    <row r="6" spans="1:1" x14ac:dyDescent="0.3">
      <c r="A6" s="33" t="s">
        <v>72</v>
      </c>
    </row>
    <row r="7" spans="1:1" x14ac:dyDescent="0.3">
      <c r="A7" s="33" t="s">
        <v>73</v>
      </c>
    </row>
    <row r="8" spans="1:1" x14ac:dyDescent="0.3">
      <c r="A8" s="33" t="s">
        <v>74</v>
      </c>
    </row>
    <row r="9" spans="1:1" x14ac:dyDescent="0.3">
      <c r="A9" s="33" t="s">
        <v>75</v>
      </c>
    </row>
    <row r="10" spans="1:1" x14ac:dyDescent="0.3">
      <c r="A10" s="33" t="s">
        <v>69</v>
      </c>
    </row>
    <row r="11" spans="1:1" x14ac:dyDescent="0.3">
      <c r="A11" s="35" t="s">
        <v>76</v>
      </c>
    </row>
    <row r="12" spans="1:1" x14ac:dyDescent="0.3">
      <c r="A12" s="33" t="s">
        <v>77</v>
      </c>
    </row>
    <row r="13" spans="1:1" x14ac:dyDescent="0.3">
      <c r="A13" s="33" t="s">
        <v>78</v>
      </c>
    </row>
    <row r="14" spans="1:1" x14ac:dyDescent="0.3">
      <c r="A14" s="33" t="s">
        <v>79</v>
      </c>
    </row>
    <row r="15" spans="1:1" x14ac:dyDescent="0.3">
      <c r="A15" s="33" t="s">
        <v>69</v>
      </c>
    </row>
    <row r="16" spans="1:1" x14ac:dyDescent="0.3">
      <c r="A16" s="35" t="s">
        <v>80</v>
      </c>
    </row>
    <row r="17" spans="1:1" x14ac:dyDescent="0.3">
      <c r="A17" s="33" t="s">
        <v>81</v>
      </c>
    </row>
    <row r="18" spans="1:1" x14ac:dyDescent="0.3">
      <c r="A18" s="33" t="s">
        <v>82</v>
      </c>
    </row>
    <row r="19" spans="1:1" x14ac:dyDescent="0.3">
      <c r="A19" s="33" t="s">
        <v>83</v>
      </c>
    </row>
    <row r="20" spans="1:1" x14ac:dyDescent="0.3">
      <c r="A20" s="33" t="s">
        <v>84</v>
      </c>
    </row>
    <row r="21" spans="1:1" x14ac:dyDescent="0.3">
      <c r="A21" s="33" t="s">
        <v>85</v>
      </c>
    </row>
    <row r="22" spans="1:1" x14ac:dyDescent="0.3">
      <c r="A22" s="33" t="s">
        <v>69</v>
      </c>
    </row>
    <row r="23" spans="1:1" x14ac:dyDescent="0.3">
      <c r="A23" s="35" t="s">
        <v>86</v>
      </c>
    </row>
    <row r="24" spans="1:1" x14ac:dyDescent="0.3">
      <c r="A24" s="33" t="s">
        <v>87</v>
      </c>
    </row>
    <row r="25" spans="1:1" x14ac:dyDescent="0.3">
      <c r="A25" s="33" t="s">
        <v>88</v>
      </c>
    </row>
    <row r="26" spans="1:1" x14ac:dyDescent="0.3">
      <c r="A26" s="33" t="s">
        <v>89</v>
      </c>
    </row>
    <row r="27" spans="1:1" x14ac:dyDescent="0.3">
      <c r="A27" s="3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Summary_Metrics</vt:lpstr>
      <vt:lpstr>Segment_by_Region</vt:lpstr>
      <vt:lpstr>Segment_by_Device</vt:lpstr>
      <vt:lpstr>Segment_by_Traffic_Source</vt:lpstr>
      <vt:lpstr>Guardrail_Analysis</vt:lpstr>
      <vt:lpstr>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Vobalaboina, Priyanka</dc:creator>
  <cp:lastModifiedBy>Vobalaboina, Priyanka</cp:lastModifiedBy>
  <dcterms:created xsi:type="dcterms:W3CDTF">2026-06-24T13:43:48Z</dcterms:created>
  <dcterms:modified xsi:type="dcterms:W3CDTF">2026-06-24T14:20:11Z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2026-06-24T13:46:16Z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ac420868-7405-4a44-8dc7-73c3486871e7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